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ersonal projects\"/>
    </mc:Choice>
  </mc:AlternateContent>
  <xr:revisionPtr revIDLastSave="0" documentId="8_{1677413D-1D2C-4B4F-AC30-85E1A649D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" sheetId="1" r:id="rId1"/>
    <sheet name="Income Statement" sheetId="2" r:id="rId2"/>
    <sheet name="Cash Flow" sheetId="3" r:id="rId3"/>
    <sheet name="Debt Engine" sheetId="4" r:id="rId4"/>
    <sheet name="Balance Sheet" sheetId="5" r:id="rId5"/>
    <sheet name="Valuation" sheetId="6" r:id="rId6"/>
    <sheet name="Dashboard" sheetId="7" r:id="rId7"/>
  </sheets>
  <calcPr calcId="0"/>
</workbook>
</file>

<file path=xl/sharedStrings.xml><?xml version="1.0" encoding="utf-8"?>
<sst xmlns="http://schemas.openxmlformats.org/spreadsheetml/2006/main" count="65" uniqueCount="47">
  <si>
    <t>KEY ASSUMPTIONS</t>
  </si>
  <si>
    <t>Revenue Growth</t>
  </si>
  <si>
    <t>Gross Margin</t>
  </si>
  <si>
    <t>OpEx % Revenue</t>
  </si>
  <si>
    <t>Capex % Revenue</t>
  </si>
  <si>
    <t>WC % Revenue</t>
  </si>
  <si>
    <t>Tax Rate</t>
  </si>
  <si>
    <t>Interest Rate</t>
  </si>
  <si>
    <t>Starting Debt</t>
  </si>
  <si>
    <t>WACC</t>
  </si>
  <si>
    <t>Terminal Growth</t>
  </si>
  <si>
    <t>Y0</t>
  </si>
  <si>
    <t>Y1</t>
  </si>
  <si>
    <t>Y2</t>
  </si>
  <si>
    <t>Y3</t>
  </si>
  <si>
    <t>Y4</t>
  </si>
  <si>
    <t>Revenue</t>
  </si>
  <si>
    <t>COGS</t>
  </si>
  <si>
    <t>Gross Profit</t>
  </si>
  <si>
    <t>Operating Expenses</t>
  </si>
  <si>
    <t>EBITDA</t>
  </si>
  <si>
    <t>Depreciation</t>
  </si>
  <si>
    <t>EBIT</t>
  </si>
  <si>
    <t>Interest</t>
  </si>
  <si>
    <t>Pre-Tax Income</t>
  </si>
  <si>
    <t>Taxes</t>
  </si>
  <si>
    <t>Net Income</t>
  </si>
  <si>
    <t>Change in WC</t>
  </si>
  <si>
    <t>Operating CF</t>
  </si>
  <si>
    <t>Capex</t>
  </si>
  <si>
    <t>Free Cash Flow</t>
  </si>
  <si>
    <t>Beginning Debt</t>
  </si>
  <si>
    <t>Principal Repayment</t>
  </si>
  <si>
    <t>Ending Debt</t>
  </si>
  <si>
    <t>Cash</t>
  </si>
  <si>
    <t>PP&amp;E</t>
  </si>
  <si>
    <t>Total Assets</t>
  </si>
  <si>
    <t>Debt</t>
  </si>
  <si>
    <t>Equity</t>
  </si>
  <si>
    <t>Total Liab + Equity</t>
  </si>
  <si>
    <t>Enterprise Value</t>
  </si>
  <si>
    <t>EV / EBITDA (Y4)</t>
  </si>
  <si>
    <t>P/E (Y4)</t>
  </si>
  <si>
    <t>EXECUTIVE SUMMARY</t>
  </si>
  <si>
    <t>Revenue (Y4)</t>
  </si>
  <si>
    <t>EBITDA (Y4)</t>
  </si>
  <si>
    <t>Net Income (Y4)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</si>
</sst>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Assumptions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397637795275588E-2"/>
          <c:y val="0.17374999999999999"/>
          <c:w val="0.86644685039370084"/>
          <c:h val="0.51309091571886845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Inputs!$A$3:$A$12</c:f>
              <c:strCache>
                <c:ptCount val="10"/>
                <c:pt idx="0">
                  <c:v>Revenue Growth</c:v>
                </c:pt>
                <c:pt idx="1">
                  <c:v>Gross Margin</c:v>
                </c:pt>
                <c:pt idx="2">
                  <c:v>OpEx % Revenue</c:v>
                </c:pt>
                <c:pt idx="3">
                  <c:v>Capex % Revenue</c:v>
                </c:pt>
                <c:pt idx="4">
                  <c:v>WC % Revenue</c:v>
                </c:pt>
                <c:pt idx="5">
                  <c:v>Tax Rate</c:v>
                </c:pt>
                <c:pt idx="6">
                  <c:v>Interest Rate</c:v>
                </c:pt>
                <c:pt idx="7">
                  <c:v>Starting Debt</c:v>
                </c:pt>
                <c:pt idx="8">
                  <c:v>WACC</c:v>
                </c:pt>
                <c:pt idx="9">
                  <c:v>Terminal Growth</c:v>
                </c:pt>
              </c:strCache>
            </c:strRef>
          </c:cat>
          <c:val>
            <c:numRef>
              <c:f>Inputs!$B$3:$B$12</c:f>
              <c:numCache>
                <c:formatCode>General</c:formatCode>
                <c:ptCount val="10"/>
                <c:pt idx="0">
                  <c:v>0.08</c:v>
                </c:pt>
                <c:pt idx="1">
                  <c:v>0.45</c:v>
                </c:pt>
                <c:pt idx="2">
                  <c:v>0.25</c:v>
                </c:pt>
                <c:pt idx="3">
                  <c:v>0.1</c:v>
                </c:pt>
                <c:pt idx="4">
                  <c:v>0.15</c:v>
                </c:pt>
                <c:pt idx="5">
                  <c:v>0.25</c:v>
                </c:pt>
                <c:pt idx="6">
                  <c:v>0.06</c:v>
                </c:pt>
                <c:pt idx="7">
                  <c:v>400</c:v>
                </c:pt>
                <c:pt idx="8">
                  <c:v>0.1</c:v>
                </c:pt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5-4B52-963C-A16303C0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03919"/>
        <c:axId val="217910159"/>
      </c:lineChart>
      <c:catAx>
        <c:axId val="2179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10159"/>
        <c:crosses val="autoZero"/>
        <c:auto val="1"/>
        <c:lblAlgn val="ctr"/>
        <c:lblOffset val="100"/>
        <c:noMultiLvlLbl val="0"/>
      </c:catAx>
      <c:valAx>
        <c:axId val="2179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</a:t>
            </a:r>
            <a:r>
              <a:rPr lang="en-IN" baseline="0"/>
              <a:t> statement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'Income Statement'!$A$9</c:f>
              <c:strCache>
                <c:ptCount val="1"/>
                <c:pt idx="0">
                  <c:v>Interest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'Income Statement'!$B$9:$F$9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E-42EA-87F7-DC9158CEAC7D}"/>
            </c:ext>
          </c:extLst>
        </c:ser>
        <c:ser>
          <c:idx val="1"/>
          <c:order val="1"/>
          <c:tx>
            <c:strRef>
              <c:f>'Income Statement'!$A$10</c:f>
              <c:strCache>
                <c:ptCount val="1"/>
                <c:pt idx="0">
                  <c:v>Pre-Tax Income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'Income Statement'!$B$10:$F$10</c:f>
              <c:numCache>
                <c:formatCode>General</c:formatCode>
                <c:ptCount val="5"/>
                <c:pt idx="0">
                  <c:v>126</c:v>
                </c:pt>
                <c:pt idx="1">
                  <c:v>140</c:v>
                </c:pt>
                <c:pt idx="2">
                  <c:v>154.89999999999989</c:v>
                </c:pt>
                <c:pt idx="3">
                  <c:v>171.85</c:v>
                </c:pt>
                <c:pt idx="4">
                  <c:v>189.99999999999989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E-42EA-87F7-DC9158CEAC7D}"/>
            </c:ext>
          </c:extLst>
        </c:ser>
        <c:ser>
          <c:idx val="2"/>
          <c:order val="2"/>
          <c:tx>
            <c:strRef>
              <c:f>'Income Statement'!$A$11</c:f>
              <c:strCache>
                <c:ptCount val="1"/>
                <c:pt idx="0">
                  <c:v>Taxes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'Income Statement'!$B$11:$F$11</c:f>
              <c:numCache>
                <c:formatCode>General</c:formatCode>
                <c:ptCount val="5"/>
                <c:pt idx="0">
                  <c:v>31.5</c:v>
                </c:pt>
                <c:pt idx="1">
                  <c:v>35</c:v>
                </c:pt>
                <c:pt idx="2">
                  <c:v>38.72499999999998</c:v>
                </c:pt>
                <c:pt idx="3">
                  <c:v>42.962499999999991</c:v>
                </c:pt>
                <c:pt idx="4">
                  <c:v>47.499999999999972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E-42EA-87F7-DC9158CEAC7D}"/>
            </c:ext>
          </c:extLst>
        </c:ser>
        <c:ser>
          <c:idx val="3"/>
          <c:order val="3"/>
          <c:tx>
            <c:strRef>
              <c:f>'Income Statement'!$A$12</c:f>
              <c:strCache>
                <c:ptCount val="1"/>
                <c:pt idx="0">
                  <c:v>Net Income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'Income Statement'!$B$12:$F$12</c:f>
              <c:numCache>
                <c:formatCode>General</c:formatCode>
                <c:ptCount val="5"/>
                <c:pt idx="0">
                  <c:v>94.5</c:v>
                </c:pt>
                <c:pt idx="1">
                  <c:v>105</c:v>
                </c:pt>
                <c:pt idx="2">
                  <c:v>116.1749999999999</c:v>
                </c:pt>
                <c:pt idx="3">
                  <c:v>128.88749999999999</c:v>
                </c:pt>
                <c:pt idx="4">
                  <c:v>142.49999999999989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4E-42EA-87F7-DC9158CE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520351"/>
        <c:axId val="227520831"/>
      </c:lineChart>
      <c:catAx>
        <c:axId val="227520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20831"/>
        <c:crosses val="autoZero"/>
        <c:auto val="1"/>
        <c:lblAlgn val="ctr"/>
        <c:lblOffset val="100"/>
        <c:noMultiLvlLbl val="0"/>
      </c:catAx>
      <c:valAx>
        <c:axId val="227520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2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Cash</a:t>
            </a:r>
            <a:r>
              <a:rPr lang="en-IN" baseline="0"/>
              <a:t> Flow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Flow'!$B$1</c:f>
              <c:strCache>
                <c:ptCount val="1"/>
                <c:pt idx="0">
                  <c:v>Y0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'Cash Flow'!$A$2:$A$7</c:f>
              <c:strCache>
                <c:ptCount val="6"/>
                <c:pt idx="0">
                  <c:v>Net Income</c:v>
                </c:pt>
                <c:pt idx="1">
                  <c:v>Depreciation</c:v>
                </c:pt>
                <c:pt idx="2">
                  <c:v>Change in WC</c:v>
                </c:pt>
                <c:pt idx="3">
                  <c:v>Operating CF</c:v>
                </c:pt>
                <c:pt idx="4">
                  <c:v>Capex</c:v>
                </c:pt>
                <c:pt idx="5">
                  <c:v>Free Cash Flow</c:v>
                </c:pt>
              </c:strCache>
            </c:strRef>
          </c:cat>
          <c:val>
            <c:numRef>
              <c:f>'Cash Flow'!$B$2:$B$7</c:f>
              <c:numCache>
                <c:formatCode>General</c:formatCode>
                <c:ptCount val="6"/>
                <c:pt idx="0">
                  <c:v>94.5</c:v>
                </c:pt>
                <c:pt idx="1">
                  <c:v>50</c:v>
                </c:pt>
                <c:pt idx="2">
                  <c:v>150</c:v>
                </c:pt>
                <c:pt idx="3">
                  <c:v>-5.5</c:v>
                </c:pt>
                <c:pt idx="4">
                  <c:v>-100</c:v>
                </c:pt>
                <c:pt idx="5">
                  <c:v>-105.5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7-4189-8542-083553A64C3D}"/>
            </c:ext>
          </c:extLst>
        </c:ser>
        <c:ser>
          <c:idx val="1"/>
          <c:order val="1"/>
          <c:tx>
            <c:strRef>
              <c:f>'Cash Flow'!$C$1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 Flow'!$A$2:$A$7</c:f>
              <c:strCache>
                <c:ptCount val="6"/>
                <c:pt idx="0">
                  <c:v>Net Income</c:v>
                </c:pt>
                <c:pt idx="1">
                  <c:v>Depreciation</c:v>
                </c:pt>
                <c:pt idx="2">
                  <c:v>Change in WC</c:v>
                </c:pt>
                <c:pt idx="3">
                  <c:v>Operating CF</c:v>
                </c:pt>
                <c:pt idx="4">
                  <c:v>Capex</c:v>
                </c:pt>
                <c:pt idx="5">
                  <c:v>Free Cash Flow</c:v>
                </c:pt>
              </c:strCache>
            </c:strRef>
          </c:cat>
          <c:val>
            <c:numRef>
              <c:f>'Cash Flow'!$C$2:$C$7</c:f>
              <c:numCache>
                <c:formatCode>General</c:formatCode>
                <c:ptCount val="6"/>
                <c:pt idx="0">
                  <c:v>105</c:v>
                </c:pt>
                <c:pt idx="1">
                  <c:v>54</c:v>
                </c:pt>
                <c:pt idx="2">
                  <c:v>162</c:v>
                </c:pt>
                <c:pt idx="3">
                  <c:v>-3</c:v>
                </c:pt>
                <c:pt idx="4">
                  <c:v>-108</c:v>
                </c:pt>
                <c:pt idx="5">
                  <c:v>-111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7-4189-8542-083553A64C3D}"/>
            </c:ext>
          </c:extLst>
        </c:ser>
        <c:ser>
          <c:idx val="2"/>
          <c:order val="2"/>
          <c:tx>
            <c:strRef>
              <c:f>'Cash Flow'!$D$1</c:f>
              <c:strCache>
                <c:ptCount val="1"/>
                <c:pt idx="0">
                  <c:v>Y2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'Cash Flow'!$A$2:$A$7</c:f>
              <c:strCache>
                <c:ptCount val="6"/>
                <c:pt idx="0">
                  <c:v>Net Income</c:v>
                </c:pt>
                <c:pt idx="1">
                  <c:v>Depreciation</c:v>
                </c:pt>
                <c:pt idx="2">
                  <c:v>Change in WC</c:v>
                </c:pt>
                <c:pt idx="3">
                  <c:v>Operating CF</c:v>
                </c:pt>
                <c:pt idx="4">
                  <c:v>Capex</c:v>
                </c:pt>
                <c:pt idx="5">
                  <c:v>Free Cash Flow</c:v>
                </c:pt>
              </c:strCache>
            </c:strRef>
          </c:cat>
          <c:val>
            <c:numRef>
              <c:f>'Cash Flow'!$D$2:$D$7</c:f>
              <c:numCache>
                <c:formatCode>General</c:formatCode>
                <c:ptCount val="6"/>
                <c:pt idx="0">
                  <c:v>116.1749999999999</c:v>
                </c:pt>
                <c:pt idx="1">
                  <c:v>58.3</c:v>
                </c:pt>
                <c:pt idx="2">
                  <c:v>174.9</c:v>
                </c:pt>
                <c:pt idx="3">
                  <c:v>-0.42500000000006821</c:v>
                </c:pt>
                <c:pt idx="4">
                  <c:v>-116.6</c:v>
                </c:pt>
                <c:pt idx="5">
                  <c:v>-117.02500000000011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7-4189-8542-083553A64C3D}"/>
            </c:ext>
          </c:extLst>
        </c:ser>
        <c:ser>
          <c:idx val="3"/>
          <c:order val="3"/>
          <c:tx>
            <c:strRef>
              <c:f>'Cash Flow'!$E$1</c:f>
              <c:strCache>
                <c:ptCount val="1"/>
                <c:pt idx="0">
                  <c:v>Y3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'Cash Flow'!$A$2:$A$7</c:f>
              <c:strCache>
                <c:ptCount val="6"/>
                <c:pt idx="0">
                  <c:v>Net Income</c:v>
                </c:pt>
                <c:pt idx="1">
                  <c:v>Depreciation</c:v>
                </c:pt>
                <c:pt idx="2">
                  <c:v>Change in WC</c:v>
                </c:pt>
                <c:pt idx="3">
                  <c:v>Operating CF</c:v>
                </c:pt>
                <c:pt idx="4">
                  <c:v>Capex</c:v>
                </c:pt>
                <c:pt idx="5">
                  <c:v>Free Cash Flow</c:v>
                </c:pt>
              </c:strCache>
            </c:strRef>
          </c:cat>
          <c:val>
            <c:numRef>
              <c:f>'Cash Flow'!$E$2:$E$7</c:f>
              <c:numCache>
                <c:formatCode>General</c:formatCode>
                <c:ptCount val="6"/>
                <c:pt idx="0">
                  <c:v>128.88749999999999</c:v>
                </c:pt>
                <c:pt idx="1">
                  <c:v>62.95</c:v>
                </c:pt>
                <c:pt idx="2">
                  <c:v>188.85</c:v>
                </c:pt>
                <c:pt idx="3">
                  <c:v>2.9874999999999829</c:v>
                </c:pt>
                <c:pt idx="4">
                  <c:v>-125.9</c:v>
                </c:pt>
                <c:pt idx="5">
                  <c:v>-122.91249999999999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A7-4189-8542-083553A64C3D}"/>
            </c:ext>
          </c:extLst>
        </c:ser>
        <c:ser>
          <c:idx val="4"/>
          <c:order val="4"/>
          <c:tx>
            <c:strRef>
              <c:f>'Cash Flow'!$F$1</c:f>
              <c:strCache>
                <c:ptCount val="1"/>
                <c:pt idx="0">
                  <c:v>Y4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'Cash Flow'!$A$2:$A$7</c:f>
              <c:strCache>
                <c:ptCount val="6"/>
                <c:pt idx="0">
                  <c:v>Net Income</c:v>
                </c:pt>
                <c:pt idx="1">
                  <c:v>Depreciation</c:v>
                </c:pt>
                <c:pt idx="2">
                  <c:v>Change in WC</c:v>
                </c:pt>
                <c:pt idx="3">
                  <c:v>Operating CF</c:v>
                </c:pt>
                <c:pt idx="4">
                  <c:v>Capex</c:v>
                </c:pt>
                <c:pt idx="5">
                  <c:v>Free Cash Flow</c:v>
                </c:pt>
              </c:strCache>
            </c:strRef>
          </c:cat>
          <c:val>
            <c:numRef>
              <c:f>'Cash Flow'!$F$2:$F$7</c:f>
              <c:numCache>
                <c:formatCode>General</c:formatCode>
                <c:ptCount val="6"/>
                <c:pt idx="0">
                  <c:v>142.49999999999989</c:v>
                </c:pt>
                <c:pt idx="1">
                  <c:v>68</c:v>
                </c:pt>
                <c:pt idx="2">
                  <c:v>204</c:v>
                </c:pt>
                <c:pt idx="3">
                  <c:v>6.4999999999999147</c:v>
                </c:pt>
                <c:pt idx="4">
                  <c:v>-136</c:v>
                </c:pt>
                <c:pt idx="5">
                  <c:v>-129.50000000000011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A7-4189-8542-083553A64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40943"/>
        <c:axId val="43841423"/>
      </c:barChart>
      <c:catAx>
        <c:axId val="4384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1423"/>
        <c:crosses val="autoZero"/>
        <c:auto val="1"/>
        <c:lblAlgn val="ctr"/>
        <c:lblOffset val="100"/>
        <c:noMultiLvlLbl val="0"/>
      </c:catAx>
      <c:valAx>
        <c:axId val="438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Debt</a:t>
            </a:r>
            <a:r>
              <a:rPr lang="en-IN" baseline="0"/>
              <a:t> Engine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'Debt Engine'!$A$2</c:f>
              <c:strCache>
                <c:ptCount val="1"/>
                <c:pt idx="0">
                  <c:v>Beginning Debt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'Debt Engine'!$B$1:$F$1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'Debt Engine'!$B$2:$F$2</c:f>
              <c:numCache>
                <c:formatCode>General</c:formatCode>
                <c:ptCount val="5"/>
                <c:pt idx="0">
                  <c:v>400</c:v>
                </c:pt>
                <c:pt idx="1">
                  <c:v>360</c:v>
                </c:pt>
                <c:pt idx="2">
                  <c:v>320</c:v>
                </c:pt>
                <c:pt idx="3">
                  <c:v>270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8-4BAF-B5FD-1384F77C7510}"/>
            </c:ext>
          </c:extLst>
        </c:ser>
        <c:ser>
          <c:idx val="1"/>
          <c:order val="1"/>
          <c:tx>
            <c:strRef>
              <c:f>'Debt Engine'!$A$3</c:f>
              <c:strCache>
                <c:ptCount val="1"/>
                <c:pt idx="0">
                  <c:v>Principal Repayment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'Debt Engine'!$B$1:$F$1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'Debt Engine'!$B$3:$F$3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8-4BAF-B5FD-1384F77C7510}"/>
            </c:ext>
          </c:extLst>
        </c:ser>
        <c:ser>
          <c:idx val="2"/>
          <c:order val="2"/>
          <c:tx>
            <c:strRef>
              <c:f>'Debt Engine'!$A$4</c:f>
              <c:strCache>
                <c:ptCount val="1"/>
                <c:pt idx="0">
                  <c:v>Ending Debt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'Debt Engine'!$B$1:$F$1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'Debt Engine'!$B$4:$F$4</c:f>
              <c:numCache>
                <c:formatCode>General</c:formatCode>
                <c:ptCount val="5"/>
                <c:pt idx="0">
                  <c:v>360</c:v>
                </c:pt>
                <c:pt idx="1">
                  <c:v>320</c:v>
                </c:pt>
                <c:pt idx="2">
                  <c:v>270</c:v>
                </c:pt>
                <c:pt idx="3">
                  <c:v>210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8-4BAF-B5FD-1384F77C7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25277535"/>
        <c:axId val="225263135"/>
      </c:barChart>
      <c:catAx>
        <c:axId val="22527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63135"/>
        <c:crosses val="autoZero"/>
        <c:auto val="1"/>
        <c:lblAlgn val="ctr"/>
        <c:lblOffset val="100"/>
        <c:noMultiLvlLbl val="0"/>
      </c:catAx>
      <c:valAx>
        <c:axId val="22526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7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Balance</a:t>
            </a:r>
            <a:r>
              <a:rPr lang="en-IN" baseline="0"/>
              <a:t> Sheet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'Balance Sheet'!$A$2</c:f>
              <c:strCache>
                <c:ptCount val="1"/>
                <c:pt idx="0">
                  <c:v>Cash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Sheet'!$B$2:$F$2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190</c:v>
                </c:pt>
                <c:pt idx="3">
                  <c:v>240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6-4F3F-920B-1EB6046C6C52}"/>
            </c:ext>
          </c:extLst>
        </c:ser>
        <c:ser>
          <c:idx val="1"/>
          <c:order val="1"/>
          <c:tx>
            <c:strRef>
              <c:f>'Balance Sheet'!$A$3</c:f>
              <c:strCache>
                <c:ptCount val="1"/>
                <c:pt idx="0">
                  <c:v>PP&amp;E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Sheet'!$B$3:$F$3</c:f>
              <c:numCache>
                <c:formatCode>General</c:formatCode>
                <c:ptCount val="5"/>
                <c:pt idx="0">
                  <c:v>500</c:v>
                </c:pt>
                <c:pt idx="1">
                  <c:v>540</c:v>
                </c:pt>
                <c:pt idx="2">
                  <c:v>580</c:v>
                </c:pt>
                <c:pt idx="3">
                  <c:v>620</c:v>
                </c:pt>
                <c:pt idx="4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6-4F3F-920B-1EB6046C6C52}"/>
            </c:ext>
          </c:extLst>
        </c:ser>
        <c:ser>
          <c:idx val="2"/>
          <c:order val="2"/>
          <c:tx>
            <c:strRef>
              <c:f>'Balance Sheet'!$A$4</c:f>
              <c:strCache>
                <c:ptCount val="1"/>
                <c:pt idx="0">
                  <c:v>Total Assets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Sheet'!$B$4:$F$4</c:f>
              <c:numCache>
                <c:formatCode>General</c:formatCode>
                <c:ptCount val="5"/>
                <c:pt idx="0">
                  <c:v>620</c:v>
                </c:pt>
                <c:pt idx="1">
                  <c:v>690</c:v>
                </c:pt>
                <c:pt idx="2">
                  <c:v>770</c:v>
                </c:pt>
                <c:pt idx="3">
                  <c:v>860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B6-4F3F-920B-1EB6046C6C52}"/>
            </c:ext>
          </c:extLst>
        </c:ser>
        <c:ser>
          <c:idx val="4"/>
          <c:order val="4"/>
          <c:tx>
            <c:strRef>
              <c:f>'Balance Sheet'!$A$6</c:f>
              <c:strCache>
                <c:ptCount val="1"/>
                <c:pt idx="0">
                  <c:v>Debt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Sheet'!$B$6:$F$6</c:f>
              <c:numCache>
                <c:formatCode>General</c:formatCode>
                <c:ptCount val="5"/>
                <c:pt idx="0">
                  <c:v>360</c:v>
                </c:pt>
                <c:pt idx="1">
                  <c:v>320</c:v>
                </c:pt>
                <c:pt idx="2">
                  <c:v>270</c:v>
                </c:pt>
                <c:pt idx="3">
                  <c:v>210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B6-4F3F-920B-1EB6046C6C52}"/>
            </c:ext>
          </c:extLst>
        </c:ser>
        <c:ser>
          <c:idx val="5"/>
          <c:order val="5"/>
          <c:tx>
            <c:strRef>
              <c:f>'Balance Sheet'!$A$7</c:f>
              <c:strCache>
                <c:ptCount val="1"/>
                <c:pt idx="0">
                  <c:v>Equity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Sheet'!$B$7:$F$7</c:f>
              <c:numCache>
                <c:formatCode>General</c:formatCode>
                <c:ptCount val="5"/>
                <c:pt idx="0">
                  <c:v>220</c:v>
                </c:pt>
                <c:pt idx="1">
                  <c:v>330</c:v>
                </c:pt>
                <c:pt idx="2">
                  <c:v>450</c:v>
                </c:pt>
                <c:pt idx="3">
                  <c:v>590</c:v>
                </c:pt>
                <c:pt idx="4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B6-4F3F-920B-1EB6046C6C52}"/>
            </c:ext>
          </c:extLst>
        </c:ser>
        <c:ser>
          <c:idx val="6"/>
          <c:order val="6"/>
          <c:tx>
            <c:strRef>
              <c:f>'Balance Sheet'!$A$8</c:f>
              <c:strCache>
                <c:ptCount val="1"/>
                <c:pt idx="0">
                  <c:v>Total Liab + Equity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'Balance Sheet'!$B$1:$F$1</c:f>
              <c:strCache>
                <c:ptCount val="5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</c:strCache>
            </c:strRef>
          </c:cat>
          <c:val>
            <c:numRef>
              <c:f>'Balance Sheet'!$B$8:$F$8</c:f>
              <c:numCache>
                <c:formatCode>General</c:formatCode>
                <c:ptCount val="5"/>
                <c:pt idx="0">
                  <c:v>580</c:v>
                </c:pt>
                <c:pt idx="1">
                  <c:v>650</c:v>
                </c:pt>
                <c:pt idx="2">
                  <c:v>720</c:v>
                </c:pt>
                <c:pt idx="3">
                  <c:v>800</c:v>
                </c:pt>
                <c:pt idx="4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6-4F3F-920B-1EB6046C6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15935"/>
        <c:axId val="161914015"/>
        <c:extLst>
          <c:ext xmlns:c15="http://schemas.microsoft.com/office/drawing/2012/chart" uri="{02D57815-91ED-43cb-92C2-25804820EDAC}">
            <c15:filteredArea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'Balance Sheet'!$A$5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cat>
                  <c:strRef>
                    <c:extLst>
                      <c:ext uri="{02D57815-91ED-43cb-92C2-25804820EDAC}">
                        <c15:formulaRef>
                          <c15:sqref>'Balance Sheet'!$B$1:$F$1</c15:sqref>
                        </c15:formulaRef>
                      </c:ext>
                    </c:extLst>
                    <c:strCache>
                      <c:ptCount val="5"/>
                      <c:pt idx="0">
                        <c:v>Y0</c:v>
                      </c:pt>
                      <c:pt idx="1">
                        <c:v>Y1</c:v>
                      </c:pt>
                      <c:pt idx="2">
                        <c:v>Y2</c:v>
                      </c:pt>
                      <c:pt idx="3">
                        <c:v>Y3</c:v>
                      </c:pt>
                      <c:pt idx="4">
                        <c:v>Y4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'Balance Sheet'!$B$5:$F$5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6B6-4F3F-920B-1EB6046C6C52}"/>
                  </c:ext>
                </c:extLst>
              </c15:ser>
            </c15:filteredAreaSeries>
          </c:ext>
        </c:extLst>
      </c:areaChart>
      <c:catAx>
        <c:axId val="161915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14015"/>
        <c:crosses val="autoZero"/>
        <c:auto val="1"/>
        <c:lblAlgn val="ctr"/>
        <c:lblOffset val="100"/>
        <c:noMultiLvlLbl val="0"/>
      </c:catAx>
      <c:valAx>
        <c:axId val="1619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1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Valuation!$A$1:$A$4</c:f>
              <c:strCache>
                <c:ptCount val="4"/>
                <c:pt idx="1">
                  <c:v>Enterprise Value</c:v>
                </c:pt>
                <c:pt idx="2">
                  <c:v>EV / EBITDA (Y4)</c:v>
                </c:pt>
                <c:pt idx="3">
                  <c:v>P/E (Y4)</c:v>
                </c:pt>
              </c:strCache>
            </c:strRef>
          </c:cat>
          <c:val>
            <c:numRef>
              <c:f>Valuation!$B$1:$B$4</c:f>
              <c:numCache>
                <c:formatCode>General</c:formatCode>
                <c:ptCount val="4"/>
                <c:pt idx="1">
                  <c:v>1850</c:v>
                </c:pt>
                <c:pt idx="2">
                  <c:v>6.801470588235297</c:v>
                </c:pt>
                <c:pt idx="3">
                  <c:v>12.982456140350889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76E-ADA9-68884CEC66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Executive</a:t>
            </a:r>
            <a:r>
              <a:rPr lang="en-IN" baseline="0"/>
              <a:t> Summary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3354855643044612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Dashboard!$A$3:$A$6</c:f>
              <c:strCache>
                <c:ptCount val="4"/>
                <c:pt idx="0">
                  <c:v>Enterprise Value</c:v>
                </c:pt>
                <c:pt idx="1">
                  <c:v>Revenue (Y4)</c:v>
                </c:pt>
                <c:pt idx="2">
                  <c:v>EBITDA (Y4)</c:v>
                </c:pt>
                <c:pt idx="3">
                  <c:v>Net Income (Y4)</c:v>
                </c:pt>
              </c:strCache>
            </c:strRef>
          </c:cat>
          <c:val>
            <c:numRef>
              <c:f>Dashboard!$B$3:$B$6</c:f>
              <c:numCache>
                <c:formatCode>General</c:formatCode>
                <c:ptCount val="4"/>
                <c:pt idx="0">
                  <c:v>1850</c:v>
                </c:pt>
                <c:pt idx="1">
                  <c:v>1360</c:v>
                </c:pt>
                <c:pt idx="2">
                  <c:v>271.99999999999989</c:v>
                </c:pt>
                <c:pt idx="3">
                  <c:v>142.49999999999989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6-4894-A5DE-515C6308D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072943"/>
        <c:axId val="280071983"/>
      </c:lineChart>
      <c:catAx>
        <c:axId val="28007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71983"/>
        <c:crosses val="autoZero"/>
        <c:auto val="1"/>
        <c:lblAlgn val="ctr"/>
        <c:lblOffset val="100"/>
        <c:noMultiLvlLbl val="0"/>
      </c:catAx>
      <c:valAx>
        <c:axId val="2800719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07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5</xdr:row>
      <xdr:rowOff>72390</xdr:rowOff>
    </xdr:from>
    <xdr:to>
      <xdr:col>11</xdr:col>
      <xdr:colOff>205740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07C89-E8AD-CB90-7B53-1DF65C107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15</xdr:row>
      <xdr:rowOff>57150</xdr:rowOff>
    </xdr:from>
    <xdr:to>
      <xdr:col>7</xdr:col>
      <xdr:colOff>327660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4A8F9-B843-F392-7C91-4C4396790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8</xdr:row>
      <xdr:rowOff>140970</xdr:rowOff>
    </xdr:from>
    <xdr:to>
      <xdr:col>8</xdr:col>
      <xdr:colOff>137160</xdr:colOff>
      <xdr:row>24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8149CE-FD07-0926-0821-F68C4078B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6</xdr:row>
      <xdr:rowOff>171450</xdr:rowOff>
    </xdr:from>
    <xdr:to>
      <xdr:col>7</xdr:col>
      <xdr:colOff>327660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60660-45C5-552E-86AF-0AD5028A1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10</xdr:row>
      <xdr:rowOff>140970</xdr:rowOff>
    </xdr:from>
    <xdr:to>
      <xdr:col>7</xdr:col>
      <xdr:colOff>426720</xdr:colOff>
      <xdr:row>26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3791C-6AF7-6113-31D7-A452F3E79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716280</xdr:colOff>
      <xdr:row>7</xdr:row>
      <xdr:rowOff>163830</xdr:rowOff>
    </xdr:from>
    <xdr:to>
      <xdr:col>8</xdr:col>
      <xdr:colOff>76200</xdr:colOff>
      <xdr:row>23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BCD34-A63A-3559-AC66-3CE2CC549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1775460</xdr:colOff>
      <xdr:row>7</xdr:row>
      <xdr:rowOff>148590</xdr:rowOff>
    </xdr:from>
    <xdr:to>
      <xdr:col>8</xdr:col>
      <xdr:colOff>38100</xdr:colOff>
      <xdr:row>23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8BCE7-3A41-BBCE-FDBF-B10A9E3FF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workbookViewId="0">
      <selection activeCell="C15" sqref="C15"/>
    </sheetView>
  </sheetViews>
  <sheetFormatPr defaultRowHeight="13.8" x14ac:dyDescent="0.3"/>
  <cols>
    <col min="1" max="1" width="21.6640625" style="1" bestFit="1" customWidth="1"/>
    <col min="2" max="16384" width="8.88671875" style="1"/>
  </cols>
  <sheetData>
    <row r="1" spans="1:2" x14ac:dyDescent="0.3">
      <c r="A1" s="5" t="s">
        <v>0</v>
      </c>
    </row>
    <row r="3" spans="1:2" x14ac:dyDescent="0.3">
      <c r="A3" s="6" t="s">
        <v>1</v>
      </c>
      <c r="B3" s="1">
        <v>0.08</v>
      </c>
    </row>
    <row r="4" spans="1:2" x14ac:dyDescent="0.3">
      <c r="A4" s="6" t="s">
        <v>2</v>
      </c>
      <c r="B4" s="1">
        <v>0.45</v>
      </c>
    </row>
    <row r="5" spans="1:2" x14ac:dyDescent="0.3">
      <c r="A5" s="6" t="s">
        <v>3</v>
      </c>
      <c r="B5" s="1">
        <v>0.25</v>
      </c>
    </row>
    <row r="6" spans="1:2" x14ac:dyDescent="0.3">
      <c r="A6" s="6" t="s">
        <v>4</v>
      </c>
      <c r="B6" s="1">
        <v>0.1</v>
      </c>
    </row>
    <row r="7" spans="1:2" x14ac:dyDescent="0.3">
      <c r="A7" s="6" t="s">
        <v>5</v>
      </c>
      <c r="B7" s="1">
        <v>0.15</v>
      </c>
    </row>
    <row r="8" spans="1:2" x14ac:dyDescent="0.3">
      <c r="A8" s="6" t="s">
        <v>6</v>
      </c>
      <c r="B8" s="1">
        <v>0.25</v>
      </c>
    </row>
    <row r="9" spans="1:2" x14ac:dyDescent="0.3">
      <c r="A9" s="6" t="s">
        <v>7</v>
      </c>
      <c r="B9" s="1">
        <v>0.06</v>
      </c>
    </row>
    <row r="10" spans="1:2" x14ac:dyDescent="0.3">
      <c r="A10" s="6" t="s">
        <v>8</v>
      </c>
      <c r="B10" s="1">
        <v>400</v>
      </c>
    </row>
    <row r="11" spans="1:2" x14ac:dyDescent="0.3">
      <c r="A11" s="6" t="s">
        <v>9</v>
      </c>
      <c r="B11" s="1">
        <v>0.1</v>
      </c>
    </row>
    <row r="12" spans="1:2" x14ac:dyDescent="0.3">
      <c r="A12" s="6" t="s">
        <v>10</v>
      </c>
      <c r="B12" s="1">
        <v>0.03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topLeftCell="A9" workbookViewId="0">
      <selection activeCell="J18" sqref="J18"/>
    </sheetView>
  </sheetViews>
  <sheetFormatPr defaultRowHeight="13.8" x14ac:dyDescent="0.3"/>
  <cols>
    <col min="1" max="1" width="17" style="1" bestFit="1" customWidth="1"/>
    <col min="2" max="16384" width="8.88671875" style="1"/>
  </cols>
  <sheetData>
    <row r="1" spans="1:6" x14ac:dyDescent="0.3"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3">
      <c r="A2" s="3" t="s">
        <v>16</v>
      </c>
      <c r="B2" s="1">
        <v>1000</v>
      </c>
      <c r="C2" s="1">
        <v>1080</v>
      </c>
      <c r="D2" s="1">
        <v>1166</v>
      </c>
      <c r="E2" s="1">
        <v>1259</v>
      </c>
      <c r="F2" s="1">
        <v>1360</v>
      </c>
    </row>
    <row r="3" spans="1:6" x14ac:dyDescent="0.3">
      <c r="A3" s="3" t="s">
        <v>17</v>
      </c>
      <c r="B3" s="1">
        <v>550</v>
      </c>
      <c r="C3" s="1">
        <v>594</v>
      </c>
      <c r="D3" s="1">
        <v>641.30000000000007</v>
      </c>
      <c r="E3" s="1">
        <v>692.45</v>
      </c>
      <c r="F3" s="1">
        <v>748.00000000000011</v>
      </c>
    </row>
    <row r="4" spans="1:6" x14ac:dyDescent="0.3">
      <c r="A4" s="3" t="s">
        <v>18</v>
      </c>
      <c r="B4" s="1">
        <v>450</v>
      </c>
      <c r="C4" s="1">
        <v>486</v>
      </c>
      <c r="D4" s="1">
        <v>524.69999999999993</v>
      </c>
      <c r="E4" s="1">
        <v>566.54999999999995</v>
      </c>
      <c r="F4" s="1">
        <v>611.99999999999989</v>
      </c>
    </row>
    <row r="5" spans="1:6" x14ac:dyDescent="0.3">
      <c r="A5" s="3" t="s">
        <v>19</v>
      </c>
      <c r="B5" s="1">
        <v>250</v>
      </c>
      <c r="C5" s="1">
        <v>270</v>
      </c>
      <c r="D5" s="1">
        <v>291.5</v>
      </c>
      <c r="E5" s="1">
        <v>314.75</v>
      </c>
      <c r="F5" s="1">
        <v>340</v>
      </c>
    </row>
    <row r="6" spans="1:6" x14ac:dyDescent="0.3">
      <c r="A6" s="3" t="s">
        <v>20</v>
      </c>
      <c r="B6" s="1">
        <v>200</v>
      </c>
      <c r="C6" s="1">
        <v>216</v>
      </c>
      <c r="D6" s="1">
        <v>233.1999999999999</v>
      </c>
      <c r="E6" s="1">
        <v>251.8</v>
      </c>
      <c r="F6" s="1">
        <v>271.99999999999989</v>
      </c>
    </row>
    <row r="7" spans="1:6" x14ac:dyDescent="0.3">
      <c r="A7" s="3" t="s">
        <v>21</v>
      </c>
      <c r="B7" s="1">
        <v>50</v>
      </c>
      <c r="C7" s="1">
        <v>54</v>
      </c>
      <c r="D7" s="1">
        <v>58.3</v>
      </c>
      <c r="E7" s="1">
        <v>62.95</v>
      </c>
      <c r="F7" s="1">
        <v>68</v>
      </c>
    </row>
    <row r="8" spans="1:6" x14ac:dyDescent="0.3">
      <c r="A8" s="3" t="s">
        <v>22</v>
      </c>
      <c r="B8" s="1">
        <v>150</v>
      </c>
      <c r="C8" s="1">
        <v>162</v>
      </c>
      <c r="D8" s="1">
        <v>174.89999999999989</v>
      </c>
      <c r="E8" s="1">
        <v>188.85</v>
      </c>
      <c r="F8" s="1">
        <v>203.99999999999989</v>
      </c>
    </row>
    <row r="9" spans="1:6" x14ac:dyDescent="0.3">
      <c r="A9" s="3" t="s">
        <v>23</v>
      </c>
      <c r="B9" s="1">
        <v>24</v>
      </c>
      <c r="C9" s="1">
        <v>22</v>
      </c>
      <c r="D9" s="1">
        <v>20</v>
      </c>
      <c r="E9" s="1">
        <v>17</v>
      </c>
      <c r="F9" s="1">
        <v>14</v>
      </c>
    </row>
    <row r="10" spans="1:6" x14ac:dyDescent="0.3">
      <c r="A10" s="3" t="s">
        <v>24</v>
      </c>
      <c r="B10" s="1">
        <v>126</v>
      </c>
      <c r="C10" s="1">
        <v>140</v>
      </c>
      <c r="D10" s="1">
        <v>154.89999999999989</v>
      </c>
      <c r="E10" s="1">
        <v>171.85</v>
      </c>
      <c r="F10" s="1">
        <v>189.99999999999989</v>
      </c>
    </row>
    <row r="11" spans="1:6" x14ac:dyDescent="0.3">
      <c r="A11" s="3" t="s">
        <v>25</v>
      </c>
      <c r="B11" s="1">
        <v>31.5</v>
      </c>
      <c r="C11" s="1">
        <v>35</v>
      </c>
      <c r="D11" s="1">
        <v>38.72499999999998</v>
      </c>
      <c r="E11" s="1">
        <v>42.962499999999991</v>
      </c>
      <c r="F11" s="1">
        <v>47.499999999999972</v>
      </c>
    </row>
    <row r="12" spans="1:6" x14ac:dyDescent="0.3">
      <c r="A12" s="3" t="s">
        <v>26</v>
      </c>
      <c r="B12" s="1">
        <v>94.5</v>
      </c>
      <c r="C12" s="1">
        <v>105</v>
      </c>
      <c r="D12" s="1">
        <v>116.1749999999999</v>
      </c>
      <c r="E12" s="1">
        <v>128.88749999999999</v>
      </c>
      <c r="F12" s="1">
        <v>142.49999999999989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workbookViewId="0">
      <selection activeCell="L10" sqref="L10"/>
    </sheetView>
  </sheetViews>
  <sheetFormatPr defaultRowHeight="13.8" x14ac:dyDescent="0.3"/>
  <cols>
    <col min="1" max="1" width="13.33203125" style="1" bestFit="1" customWidth="1"/>
    <col min="2" max="16384" width="8.88671875" style="1"/>
  </cols>
  <sheetData>
    <row r="1" spans="1:6" x14ac:dyDescent="0.3"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6" x14ac:dyDescent="0.3">
      <c r="A2" s="3" t="s">
        <v>26</v>
      </c>
      <c r="B2" s="1">
        <v>94.5</v>
      </c>
      <c r="C2" s="1">
        <v>105</v>
      </c>
      <c r="D2" s="1">
        <v>116.1749999999999</v>
      </c>
      <c r="E2" s="1">
        <v>128.88749999999999</v>
      </c>
      <c r="F2" s="1">
        <v>142.49999999999989</v>
      </c>
    </row>
    <row r="3" spans="1:6" x14ac:dyDescent="0.3">
      <c r="A3" s="3" t="s">
        <v>21</v>
      </c>
      <c r="B3" s="1">
        <v>50</v>
      </c>
      <c r="C3" s="1">
        <v>54</v>
      </c>
      <c r="D3" s="1">
        <v>58.3</v>
      </c>
      <c r="E3" s="1">
        <v>62.95</v>
      </c>
      <c r="F3" s="1">
        <v>68</v>
      </c>
    </row>
    <row r="4" spans="1:6" x14ac:dyDescent="0.3">
      <c r="A4" s="3" t="s">
        <v>27</v>
      </c>
      <c r="B4" s="1">
        <v>150</v>
      </c>
      <c r="C4" s="1">
        <v>162</v>
      </c>
      <c r="D4" s="1">
        <v>174.9</v>
      </c>
      <c r="E4" s="1">
        <v>188.85</v>
      </c>
      <c r="F4" s="1">
        <v>204</v>
      </c>
    </row>
    <row r="5" spans="1:6" x14ac:dyDescent="0.3">
      <c r="A5" s="3" t="s">
        <v>28</v>
      </c>
      <c r="B5" s="1">
        <v>-5.5</v>
      </c>
      <c r="C5" s="1">
        <v>-3</v>
      </c>
      <c r="D5" s="1">
        <v>-0.42500000000006821</v>
      </c>
      <c r="E5" s="1">
        <v>2.9874999999999829</v>
      </c>
      <c r="F5" s="1">
        <v>6.4999999999999147</v>
      </c>
    </row>
    <row r="6" spans="1:6" x14ac:dyDescent="0.3">
      <c r="A6" s="3" t="s">
        <v>29</v>
      </c>
      <c r="B6" s="1">
        <v>-100</v>
      </c>
      <c r="C6" s="1">
        <v>-108</v>
      </c>
      <c r="D6" s="1">
        <v>-116.6</v>
      </c>
      <c r="E6" s="1">
        <v>-125.9</v>
      </c>
      <c r="F6" s="1">
        <v>-136</v>
      </c>
    </row>
    <row r="7" spans="1:6" x14ac:dyDescent="0.3">
      <c r="A7" s="3" t="s">
        <v>30</v>
      </c>
      <c r="B7" s="1">
        <v>-105.5</v>
      </c>
      <c r="C7" s="1">
        <v>-111</v>
      </c>
      <c r="D7" s="1">
        <v>-117.02500000000011</v>
      </c>
      <c r="E7" s="1">
        <v>-122.91249999999999</v>
      </c>
      <c r="F7" s="1">
        <v>-129.50000000000011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showGridLines="0" workbookViewId="0">
      <selection activeCell="J13" sqref="J13"/>
    </sheetView>
  </sheetViews>
  <sheetFormatPr defaultRowHeight="14.4" x14ac:dyDescent="0.3"/>
  <cols>
    <col min="1" max="1" width="17" bestFit="1" customWidth="1"/>
  </cols>
  <sheetData>
    <row r="1" spans="1:6" x14ac:dyDescent="0.3">
      <c r="A1" s="1"/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6" x14ac:dyDescent="0.3">
      <c r="A2" s="6" t="s">
        <v>31</v>
      </c>
      <c r="B2" s="1">
        <v>400</v>
      </c>
      <c r="C2" s="1">
        <v>360</v>
      </c>
      <c r="D2" s="1">
        <v>320</v>
      </c>
      <c r="E2" s="1">
        <v>270</v>
      </c>
      <c r="F2" s="1">
        <v>210</v>
      </c>
    </row>
    <row r="3" spans="1:6" x14ac:dyDescent="0.3">
      <c r="A3" s="6" t="s">
        <v>32</v>
      </c>
      <c r="B3" s="1">
        <v>40</v>
      </c>
      <c r="C3" s="1">
        <v>40</v>
      </c>
      <c r="D3" s="1">
        <v>50</v>
      </c>
      <c r="E3" s="1">
        <v>60</v>
      </c>
      <c r="F3" s="1">
        <v>60</v>
      </c>
    </row>
    <row r="4" spans="1:6" x14ac:dyDescent="0.3">
      <c r="A4" s="6" t="s">
        <v>33</v>
      </c>
      <c r="B4" s="1">
        <v>360</v>
      </c>
      <c r="C4" s="1">
        <v>320</v>
      </c>
      <c r="D4" s="1">
        <v>270</v>
      </c>
      <c r="E4" s="1">
        <v>210</v>
      </c>
      <c r="F4" s="1">
        <v>150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>
      <selection activeCell="M18" sqref="M18"/>
    </sheetView>
  </sheetViews>
  <sheetFormatPr defaultRowHeight="13.8" x14ac:dyDescent="0.3"/>
  <cols>
    <col min="1" max="1" width="15.21875" style="1" bestFit="1" customWidth="1"/>
    <col min="2" max="16384" width="8.88671875" style="1"/>
  </cols>
  <sheetData>
    <row r="1" spans="1:6" x14ac:dyDescent="0.3"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6" x14ac:dyDescent="0.3">
      <c r="A2" s="6" t="s">
        <v>34</v>
      </c>
      <c r="B2" s="1">
        <v>120</v>
      </c>
      <c r="C2" s="1">
        <v>150</v>
      </c>
      <c r="D2" s="1">
        <v>190</v>
      </c>
      <c r="E2" s="1">
        <v>240</v>
      </c>
      <c r="F2" s="1">
        <v>300</v>
      </c>
    </row>
    <row r="3" spans="1:6" x14ac:dyDescent="0.3">
      <c r="A3" s="6" t="s">
        <v>35</v>
      </c>
      <c r="B3" s="1">
        <v>500</v>
      </c>
      <c r="C3" s="1">
        <v>540</v>
      </c>
      <c r="D3" s="1">
        <v>580</v>
      </c>
      <c r="E3" s="1">
        <v>620</v>
      </c>
      <c r="F3" s="1">
        <v>660</v>
      </c>
    </row>
    <row r="4" spans="1:6" x14ac:dyDescent="0.3">
      <c r="A4" s="6" t="s">
        <v>36</v>
      </c>
      <c r="B4" s="1">
        <v>620</v>
      </c>
      <c r="C4" s="1">
        <v>690</v>
      </c>
      <c r="D4" s="1">
        <v>770</v>
      </c>
      <c r="E4" s="1">
        <v>860</v>
      </c>
      <c r="F4" s="1">
        <v>960</v>
      </c>
    </row>
    <row r="5" spans="1:6" x14ac:dyDescent="0.3">
      <c r="A5" s="6"/>
    </row>
    <row r="6" spans="1:6" x14ac:dyDescent="0.3">
      <c r="A6" s="6" t="s">
        <v>37</v>
      </c>
      <c r="B6" s="1">
        <v>360</v>
      </c>
      <c r="C6" s="1">
        <v>320</v>
      </c>
      <c r="D6" s="1">
        <v>270</v>
      </c>
      <c r="E6" s="1">
        <v>210</v>
      </c>
      <c r="F6" s="1">
        <v>150</v>
      </c>
    </row>
    <row r="7" spans="1:6" x14ac:dyDescent="0.3">
      <c r="A7" s="6" t="s">
        <v>38</v>
      </c>
      <c r="B7" s="1">
        <v>220</v>
      </c>
      <c r="C7" s="1">
        <v>330</v>
      </c>
      <c r="D7" s="1">
        <v>450</v>
      </c>
      <c r="E7" s="1">
        <v>590</v>
      </c>
      <c r="F7" s="1">
        <v>750</v>
      </c>
    </row>
    <row r="8" spans="1:6" x14ac:dyDescent="0.3">
      <c r="A8" s="6" t="s">
        <v>39</v>
      </c>
      <c r="B8" s="1">
        <v>580</v>
      </c>
      <c r="C8" s="1">
        <v>650</v>
      </c>
      <c r="D8" s="1">
        <v>720</v>
      </c>
      <c r="E8" s="1">
        <v>800</v>
      </c>
      <c r="F8" s="1">
        <v>900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4"/>
  <sheetViews>
    <sheetView showGridLines="0" workbookViewId="0">
      <selection activeCell="M11" sqref="M11"/>
    </sheetView>
  </sheetViews>
  <sheetFormatPr defaultRowHeight="13.8" x14ac:dyDescent="0.3"/>
  <cols>
    <col min="1" max="1" width="13.77734375" style="1" bestFit="1" customWidth="1"/>
    <col min="2" max="16384" width="8.88671875" style="1"/>
  </cols>
  <sheetData>
    <row r="2" spans="1:2" x14ac:dyDescent="0.3">
      <c r="A2" s="7" t="s">
        <v>40</v>
      </c>
      <c r="B2" s="1">
        <v>1850</v>
      </c>
    </row>
    <row r="3" spans="1:2" x14ac:dyDescent="0.3">
      <c r="A3" s="7" t="s">
        <v>41</v>
      </c>
      <c r="B3" s="1">
        <v>6.801470588235297</v>
      </c>
    </row>
    <row r="4" spans="1:2" x14ac:dyDescent="0.3">
      <c r="A4" s="7" t="s">
        <v>42</v>
      </c>
      <c r="B4" s="1">
        <v>12.982456140350889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showGridLines="0" workbookViewId="0">
      <selection activeCell="M10" sqref="M10"/>
    </sheetView>
  </sheetViews>
  <sheetFormatPr defaultRowHeight="13.8" x14ac:dyDescent="0.3"/>
  <cols>
    <col min="1" max="1" width="29.77734375" style="1" bestFit="1" customWidth="1"/>
    <col min="2" max="16384" width="8.88671875" style="1"/>
  </cols>
  <sheetData>
    <row r="1" spans="1:2" x14ac:dyDescent="0.3">
      <c r="A1" s="5" t="s">
        <v>43</v>
      </c>
    </row>
    <row r="3" spans="1:2" x14ac:dyDescent="0.3">
      <c r="A3" s="6" t="s">
        <v>40</v>
      </c>
      <c r="B3" s="1">
        <v>1850</v>
      </c>
    </row>
    <row r="4" spans="1:2" x14ac:dyDescent="0.3">
      <c r="A4" s="6" t="s">
        <v>44</v>
      </c>
      <c r="B4" s="1">
        <v>1360</v>
      </c>
    </row>
    <row r="5" spans="1:2" x14ac:dyDescent="0.3">
      <c r="A5" s="6" t="s">
        <v>45</v>
      </c>
      <c r="B5" s="1">
        <v>271.99999999999989</v>
      </c>
    </row>
    <row r="6" spans="1:2" x14ac:dyDescent="0.3">
      <c r="A6" s="6" t="s">
        <v>46</v>
      </c>
      <c r="B6" s="1">
        <v>142.49999999999989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Income Statement</vt:lpstr>
      <vt:lpstr>Cash Flow</vt:lpstr>
      <vt:lpstr>Debt Engine</vt:lpstr>
      <vt:lpstr>Balance Sheet</vt:lpstr>
      <vt:lpstr>Valuation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Rodrigues</cp:lastModifiedBy>
  <dcterms:created xsi:type="dcterms:W3CDTF">2026-02-19T04:44:52Z</dcterms:created>
  <dcterms:modified xsi:type="dcterms:W3CDTF">2026-02-19T05:21:07Z</dcterms:modified>
</cp:coreProperties>
</file>